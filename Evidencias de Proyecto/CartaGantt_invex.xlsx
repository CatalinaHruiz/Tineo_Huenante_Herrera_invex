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hisWorkbook"/>
  <xr:revisionPtr revIDLastSave="0" documentId="8_{29C137FF-FB29-4375-9E96-BC34F82D3D78}" xr6:coauthVersionLast="47" xr6:coauthVersionMax="47" xr10:uidLastSave="{00000000-0000-0000-0000-000000000000}"/>
  <bookViews>
    <workbookView xWindow="-108" yWindow="-108" windowWidth="23256" windowHeight="1389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11" l="1"/>
  <c r="H18" i="11"/>
  <c r="H17" i="11"/>
  <c r="H16" i="11"/>
  <c r="H15" i="11"/>
  <c r="H14" i="11"/>
  <c r="H13" i="11"/>
  <c r="H12" i="11"/>
  <c r="H11" i="11"/>
  <c r="H10" i="11"/>
  <c r="F9" i="11"/>
  <c r="H9" i="11" s="1"/>
  <c r="E8" i="11"/>
  <c r="H7" i="11"/>
  <c r="I5" i="11"/>
  <c r="I6" i="11" s="1"/>
  <c r="I4" i="11" l="1"/>
  <c r="F8" i="11"/>
  <c r="H8" i="11" s="1"/>
  <c r="J5" i="11"/>
  <c r="J6" i="11" l="1"/>
  <c r="K5" i="11"/>
  <c r="K6" i="11" l="1"/>
  <c r="L5" i="11"/>
  <c r="M5" i="11" l="1"/>
  <c r="L6" i="11"/>
  <c r="M6" i="11" l="1"/>
  <c r="N5" i="11"/>
  <c r="N6" i="11" l="1"/>
  <c r="O5" i="11"/>
  <c r="P5" i="11" l="1"/>
  <c r="O6" i="11"/>
  <c r="P4" i="11" l="1"/>
  <c r="Q5" i="11"/>
  <c r="P6" i="11"/>
  <c r="R5" i="11" l="1"/>
  <c r="Q6" i="11"/>
  <c r="S5" i="11" l="1"/>
  <c r="R6" i="11"/>
  <c r="T5" i="11" l="1"/>
  <c r="S6" i="11"/>
  <c r="T6" i="11" l="1"/>
  <c r="U5" i="11"/>
  <c r="V5" i="11" l="1"/>
  <c r="U6" i="11"/>
  <c r="V6" i="11" l="1"/>
  <c r="W5" i="11"/>
  <c r="W6" i="11" l="1"/>
  <c r="W4" i="11"/>
  <c r="X5" i="11"/>
  <c r="X6" i="11" l="1"/>
  <c r="Y5" i="11"/>
  <c r="Y6" i="11" l="1"/>
  <c r="Z5" i="11"/>
  <c r="AA5" i="11" l="1"/>
  <c r="Z6" i="11"/>
  <c r="AA6" i="11" l="1"/>
  <c r="AB5" i="11"/>
  <c r="AB6" i="11" l="1"/>
  <c r="AC5" i="11"/>
  <c r="AD5" i="11" l="1"/>
  <c r="AC6" i="11"/>
  <c r="AD6" i="11" l="1"/>
  <c r="AD4" i="11"/>
  <c r="AE5" i="11"/>
  <c r="AF5" i="11" l="1"/>
  <c r="AE6" i="11"/>
  <c r="AG5" i="11" l="1"/>
  <c r="AF6" i="11"/>
  <c r="AH5" i="11" l="1"/>
  <c r="AG6" i="11"/>
  <c r="AH6" i="11" l="1"/>
  <c r="AI5" i="11"/>
  <c r="AJ5" i="11" l="1"/>
  <c r="AI6" i="11"/>
  <c r="AK5" i="11" l="1"/>
  <c r="AJ6" i="11"/>
  <c r="AK4" i="11" l="1"/>
  <c r="AK6" i="11"/>
  <c r="AL5" i="11"/>
  <c r="AM5" i="11" l="1"/>
  <c r="AL6" i="11"/>
  <c r="AM6" i="11" l="1"/>
  <c r="AN5" i="11"/>
  <c r="AN6" i="11" l="1"/>
  <c r="AO5" i="11"/>
  <c r="AO6" i="11" l="1"/>
  <c r="AP5" i="11"/>
  <c r="AQ5" i="11" l="1"/>
  <c r="AP6" i="11"/>
  <c r="AQ6" i="11" l="1"/>
  <c r="AR5" i="11"/>
  <c r="AR6" i="11" l="1"/>
  <c r="AS5" i="11"/>
  <c r="AR4" i="11"/>
  <c r="AS6" i="11" l="1"/>
  <c r="AT5" i="11"/>
  <c r="AT6" i="11" l="1"/>
  <c r="AU5" i="11"/>
  <c r="AU6" i="11" l="1"/>
  <c r="AV5" i="11"/>
  <c r="AW5" i="11" l="1"/>
  <c r="AV6" i="11"/>
  <c r="AW6" i="11" l="1"/>
  <c r="AX5" i="11"/>
  <c r="AY5" i="11" l="1"/>
  <c r="AX6" i="11"/>
  <c r="AZ5" i="11" l="1"/>
  <c r="AY4" i="11"/>
  <c r="AY6" i="11"/>
  <c r="AZ6" i="11" l="1"/>
  <c r="BA5" i="11"/>
  <c r="BA6" i="11" l="1"/>
  <c r="BB5" i="11"/>
  <c r="BB6" i="11" l="1"/>
  <c r="BC5" i="11"/>
  <c r="BD5" i="11" l="1"/>
  <c r="BC6" i="11"/>
  <c r="BE5" i="11" l="1"/>
  <c r="BD6" i="11"/>
  <c r="BF5" i="11" l="1"/>
  <c r="BE6" i="11"/>
  <c r="BF6" i="11" l="1"/>
  <c r="BF4" i="11"/>
  <c r="BG5" i="11"/>
  <c r="BH5" i="11" l="1"/>
  <c r="BG6" i="11"/>
  <c r="BH6" i="11" l="1"/>
  <c r="BI5" i="11"/>
  <c r="BJ5" i="11" l="1"/>
  <c r="BI6" i="11"/>
  <c r="BJ6" i="11" l="1"/>
  <c r="BK5" i="11"/>
  <c r="BL5" i="11" l="1"/>
  <c r="BK6" i="11"/>
  <c r="BM5" i="11" l="1"/>
  <c r="BL6" i="11"/>
  <c r="BN5" i="11" l="1"/>
  <c r="BM6" i="11"/>
  <c r="BN6" i="11" l="1"/>
  <c r="BO5" i="11"/>
  <c r="BP5" i="11" l="1"/>
  <c r="BO6" i="11"/>
  <c r="BQ5" i="11" l="1"/>
  <c r="BP6" i="11"/>
  <c r="BR5" i="11" l="1"/>
  <c r="BQ6" i="11"/>
  <c r="BS5" i="11" l="1"/>
  <c r="BR6" i="11"/>
  <c r="BS6" i="11" l="1"/>
  <c r="BT5" i="11"/>
  <c r="BT6" i="11" l="1"/>
  <c r="BU5" i="11"/>
  <c r="BV5" i="11" l="1"/>
  <c r="BU6" i="11"/>
  <c r="BW5" i="11" l="1"/>
  <c r="BV6" i="11"/>
  <c r="BW6" i="11" l="1"/>
  <c r="BX5" i="11"/>
  <c r="BY5" i="11" l="1"/>
  <c r="BX6" i="11"/>
  <c r="BY6" i="11" l="1"/>
  <c r="BZ5" i="11"/>
  <c r="BZ6" i="11" s="1"/>
</calcChain>
</file>

<file path=xl/sharedStrings.xml><?xml version="1.0" encoding="utf-8"?>
<sst xmlns="http://schemas.openxmlformats.org/spreadsheetml/2006/main" count="58" uniqueCount="54">
  <si>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</si>
  <si>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</si>
  <si>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</si>
  <si>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</si>
  <si>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</si>
  <si>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</si>
  <si>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</si>
  <si>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</si>
  <si>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</si>
  <si>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</si>
  <si>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</si>
  <si>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</si>
  <si>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TAREA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</si>
  <si>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</si>
  <si>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</si>
  <si>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</si>
  <si>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</si>
  <si>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</si>
  <si>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</si>
  <si>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</si>
  <si>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</si>
  <si>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</si>
  <si>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</si>
  <si>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</si>
  <si>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</si>
  <si>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</si>
  <si>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</si>
  <si>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</si>
  <si>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</si>
  <si>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</si>
  <si>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</si>
  <si>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</si>
  <si>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</si>
  <si>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</si>
  <si>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</si>
  <si>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Planificación Inicial y Definición del Proyecto</t>
  </si>
  <si>
    <t>Sprint 2: Gestion de Inventario</t>
  </si>
  <si>
    <t>Sprint 1: Crear Usuario y Login</t>
  </si>
  <si>
    <t>Configuracion de Entorno y Creacion de BD(PostreSQL)</t>
  </si>
  <si>
    <t>Sprint 3: Monetizacion y Seguridad</t>
  </si>
  <si>
    <t xml:space="preserve">Sprint 4: Gestion de Trabajadores y Reportes </t>
  </si>
  <si>
    <t xml:space="preserve">Sprint  5: Inteligencia y Proyeccion  </t>
  </si>
  <si>
    <t xml:space="preserve">QA y Puebas Finales </t>
  </si>
  <si>
    <t>Entrega y Presentacion Final</t>
  </si>
  <si>
    <t>Invex</t>
  </si>
  <si>
    <t>Anderson Tineo</t>
  </si>
  <si>
    <t>Fase 1</t>
  </si>
  <si>
    <t>Fase 2</t>
  </si>
  <si>
    <t>Fase 3</t>
  </si>
  <si>
    <t xml:space="preserve">Araceli Huenante </t>
  </si>
  <si>
    <t xml:space="preserve">Araceli Huenante y Catalina Herera </t>
  </si>
  <si>
    <t xml:space="preserve">Catalina Herrera </t>
  </si>
  <si>
    <t xml:space="preserve">Catalina Herrera y Araceli Huenante </t>
  </si>
  <si>
    <t>Equipo de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</si>
</sst>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2">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3"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24" fillId="0" borderId="0" applyNumberFormat="0" applyFill="0" applyBorder="0" applyAlignment="0" applyProtection="0"/>
    <xf numFmtId="0" fontId="25" fillId="11" borderId="0" applyNumberFormat="0" applyBorder="0" applyAlignment="0" applyProtection="0"/>
    <xf numFmtId="0" fontId="26" fillId="12" borderId="0" applyNumberFormat="0" applyBorder="0" applyAlignment="0" applyProtection="0"/>
    <xf numFmtId="0" fontId="27" fillId="13" borderId="0" applyNumberFormat="0" applyBorder="0" applyAlignment="0" applyProtection="0"/>
    <xf numFmtId="0" fontId="28" fillId="14" borderId="11" applyNumberFormat="0" applyAlignment="0" applyProtection="0"/>
    <xf numFmtId="0" fontId="29" fillId="15" borderId="12" applyNumberFormat="0" applyAlignment="0" applyProtection="0"/>
    <xf numFmtId="0" fontId="30" fillId="15" borderId="11" applyNumberFormat="0" applyAlignment="0" applyProtection="0"/>
    <xf numFmtId="0" fontId="31" fillId="0" borderId="13" applyNumberFormat="0" applyFill="0" applyAlignment="0" applyProtection="0"/>
    <xf numFmtId="0" fontId="32" fillId="16" borderId="14" applyNumberFormat="0" applyAlignment="0" applyProtection="0"/>
    <xf numFmtId="0" fontId="33" fillId="0" borderId="0" applyNumberFormat="0" applyFill="0" applyBorder="0" applyAlignment="0" applyProtection="0"/>
    <xf numFmtId="0" fontId="7" fillId="17" borderId="15" applyNumberFormat="0" applyFont="0" applyAlignment="0" applyProtection="0"/>
    <xf numFmtId="0" fontId="34" fillId="0" borderId="0" applyNumberFormat="0" applyFill="0" applyBorder="0" applyAlignment="0" applyProtection="0"/>
    <xf numFmtId="0" fontId="5" fillId="0" borderId="16" applyNumberFormat="0" applyFill="0" applyAlignment="0" applyProtection="0"/>
    <xf numFmtId="0" fontId="20"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20"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20"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20"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20"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20"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cellStyleXfs>
  <cellXfs count="7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0" borderId="1" xfId="0" applyFont="1" applyFill="1" applyBorder="1" applyAlignment="1">
      <alignment horizontal="center" vertical="center" wrapText="1"/>
    </xf>
    <xf numFmtId="0" fontId="10" fillId="9"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9" fontId="4" fillId="6" borderId="2" xfId="2" applyFont="1" applyFill="1" applyBorder="1" applyAlignment="1">
      <alignment horizontal="center" vertical="center"/>
    </xf>
    <xf numFmtId="9" fontId="4" fillId="2" borderId="2" xfId="2" applyFont="1" applyFill="1" applyBorder="1" applyAlignment="1">
      <alignment horizontal="center" vertical="center"/>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0" fillId="0" borderId="0" xfId="0" applyAlignment="1">
      <alignment wrapText="1"/>
    </xf>
    <xf numFmtId="0" fontId="7" fillId="6" borderId="2" xfId="11" applyFill="1">
      <alignment horizontal="center" vertical="center"/>
    </xf>
    <xf numFmtId="0" fontId="7" fillId="2" borderId="2" xfId="11" applyFill="1">
      <alignment horizontal="center" vertical="center"/>
    </xf>
    <xf numFmtId="0" fontId="7" fillId="7" borderId="2" xfId="11" applyFill="1">
      <alignment horizontal="center" vertical="center"/>
    </xf>
    <xf numFmtId="0" fontId="7" fillId="3" borderId="2" xfId="11" applyFill="1">
      <alignment horizontal="center" vertical="center"/>
    </xf>
    <xf numFmtId="0" fontId="7" fillId="4" borderId="2" xfId="11" applyFill="1">
      <alignment horizontal="center" vertical="center"/>
    </xf>
    <xf numFmtId="0" fontId="7" fillId="8" borderId="2" xfId="11" applyFill="1">
      <alignment horizontal="center" vertical="center"/>
    </xf>
    <xf numFmtId="0" fontId="7" fillId="0" borderId="2" xfId="11">
      <alignment horizontal="center" vertical="center"/>
    </xf>
    <xf numFmtId="0" fontId="0" fillId="0" borderId="10" xfId="0" applyBorder="1"/>
    <xf numFmtId="0" fontId="21" fillId="0" borderId="0" xfId="0" applyFont="1"/>
    <xf numFmtId="0" fontId="22" fillId="0" borderId="0" xfId="1" applyFont="1" applyProtection="1">
      <alignment vertical="top"/>
    </xf>
    <xf numFmtId="0" fontId="4" fillId="0" borderId="0" xfId="0" applyFont="1" applyAlignment="1">
      <alignment vertical="top"/>
    </xf>
    <xf numFmtId="170" fontId="0" fillId="6" borderId="2" xfId="0" applyNumberFormat="1" applyFill="1" applyBorder="1" applyAlignment="1">
      <alignment horizontal="center" vertical="center"/>
    </xf>
    <xf numFmtId="170" fontId="4" fillId="6" borderId="2" xfId="0" applyNumberFormat="1" applyFont="1" applyFill="1" applyBorder="1" applyAlignment="1">
      <alignment horizontal="center" vertical="center"/>
    </xf>
    <xf numFmtId="170" fontId="0" fillId="7" borderId="2" xfId="0" applyNumberFormat="1" applyFill="1" applyBorder="1" applyAlignment="1">
      <alignment horizontal="center" vertical="center"/>
    </xf>
    <xf numFmtId="170" fontId="4" fillId="7" borderId="2" xfId="0" applyNumberFormat="1" applyFont="1" applyFill="1" applyBorder="1" applyAlignment="1">
      <alignment horizontal="center" vertical="center"/>
    </xf>
    <xf numFmtId="170" fontId="0" fillId="4" borderId="2" xfId="0" applyNumberFormat="1" applyFill="1" applyBorder="1" applyAlignment="1">
      <alignment horizontal="center" vertical="center"/>
    </xf>
    <xf numFmtId="170" fontId="4" fillId="4" borderId="2" xfId="0" applyNumberFormat="1" applyFont="1" applyFill="1" applyBorder="1" applyAlignment="1">
      <alignment horizontal="center" vertical="center"/>
    </xf>
    <xf numFmtId="170" fontId="7" fillId="8" borderId="2" xfId="10" applyFill="1">
      <alignment horizontal="center" vertical="center"/>
    </xf>
    <xf numFmtId="169" fontId="0" fillId="5" borderId="1" xfId="0" applyNumberFormat="1" applyFill="1" applyBorder="1" applyAlignment="1">
      <alignment horizontal="left" vertical="center" wrapText="1" indent="1"/>
    </xf>
    <xf numFmtId="169" fontId="0" fillId="5" borderId="5" xfId="0" applyNumberFormat="1" applyFill="1" applyBorder="1" applyAlignment="1">
      <alignment horizontal="left" vertical="center" wrapText="1" indent="1"/>
    </xf>
    <xf numFmtId="171" fontId="9" fillId="5" borderId="6" xfId="0" applyNumberFormat="1" applyFont="1" applyFill="1" applyBorder="1" applyAlignment="1">
      <alignment horizontal="center" vertical="center"/>
    </xf>
    <xf numFmtId="171" fontId="9" fillId="5" borderId="0" xfId="0" applyNumberFormat="1" applyFont="1" applyFill="1" applyAlignment="1">
      <alignment horizontal="center" vertical="center"/>
    </xf>
    <xf numFmtId="171" fontId="9" fillId="5" borderId="7" xfId="0" applyNumberFormat="1" applyFont="1" applyFill="1" applyBorder="1" applyAlignment="1">
      <alignment horizontal="center" vertical="center"/>
    </xf>
    <xf numFmtId="170" fontId="7" fillId="2" borderId="2" xfId="10" applyFill="1">
      <alignment horizontal="center" vertical="center"/>
    </xf>
    <xf numFmtId="170" fontId="7" fillId="3" borderId="2" xfId="10" applyFill="1">
      <alignment horizontal="center" vertical="center"/>
    </xf>
    <xf numFmtId="170" fontId="7" fillId="0" borderId="2" xfId="10">
      <alignment horizontal="center" vertical="center"/>
    </xf>
    <xf numFmtId="0" fontId="11" fillId="0" borderId="0" xfId="5" applyAlignment="1">
      <alignment horizontal="left" wrapText="1"/>
    </xf>
    <xf numFmtId="0" fontId="8" fillId="0" borderId="0" xfId="6" applyAlignment="1">
      <alignment wrapText="1"/>
    </xf>
    <xf numFmtId="0" fontId="8" fillId="0" borderId="0" xfId="7" applyAlignment="1">
      <alignment vertical="top" wrapText="1"/>
    </xf>
    <xf numFmtId="0" fontId="0" fillId="0" borderId="10" xfId="0" applyBorder="1" applyAlignment="1">
      <alignment wrapText="1"/>
    </xf>
    <xf numFmtId="0" fontId="6" fillId="10" borderId="1" xfId="0" applyFont="1" applyFill="1" applyBorder="1" applyAlignment="1">
      <alignment horizontal="left" vertical="center" wrapText="1"/>
    </xf>
    <xf numFmtId="0" fontId="5" fillId="6" borderId="2" xfId="0" applyFont="1" applyFill="1" applyBorder="1" applyAlignment="1">
      <alignment horizontal="left" vertical="center" wrapText="1"/>
    </xf>
    <xf numFmtId="0" fontId="7" fillId="2" borderId="2" xfId="12" applyFill="1" applyAlignment="1">
      <alignment horizontal="left" vertical="center" wrapText="1"/>
    </xf>
    <xf numFmtId="0" fontId="5" fillId="7" borderId="2" xfId="0" applyFont="1" applyFill="1" applyBorder="1" applyAlignment="1">
      <alignment horizontal="left" vertical="center" wrapText="1"/>
    </xf>
    <xf numFmtId="0" fontId="7" fillId="3" borderId="2" xfId="12" applyFill="1" applyAlignment="1">
      <alignment horizontal="left" vertical="center" wrapText="1"/>
    </xf>
    <xf numFmtId="0" fontId="5" fillId="4" borderId="2" xfId="0" applyFont="1" applyFill="1" applyBorder="1" applyAlignment="1">
      <alignment horizontal="left" vertical="center" wrapText="1"/>
    </xf>
    <xf numFmtId="0" fontId="7" fillId="8" borderId="2" xfId="12" applyFill="1" applyAlignment="1">
      <alignment horizontal="left" vertical="center" wrapText="1"/>
    </xf>
    <xf numFmtId="0" fontId="7" fillId="0" borderId="2" xfId="12" applyAlignment="1">
      <alignment horizontal="left" vertical="center" wrapText="1"/>
    </xf>
    <xf numFmtId="0" fontId="7" fillId="0" borderId="0" xfId="8">
      <alignment horizontal="right" indent="1"/>
    </xf>
    <xf numFmtId="0" fontId="7" fillId="0" borderId="7" xfId="8" applyBorder="1">
      <alignment horizontal="right" indent="1"/>
    </xf>
    <xf numFmtId="169" fontId="0" fillId="5" borderId="4" xfId="0" applyNumberFormat="1" applyFill="1" applyBorder="1" applyAlignment="1">
      <alignment horizontal="left" vertical="center" wrapText="1" indent="1"/>
    </xf>
    <xf numFmtId="169" fontId="0" fillId="5" borderId="1" xfId="0" applyNumberFormat="1" applyFill="1" applyBorder="1" applyAlignment="1">
      <alignment horizontal="left" vertical="center" wrapText="1" indent="1"/>
    </xf>
    <xf numFmtId="169" fontId="0" fillId="5" borderId="5" xfId="0" applyNumberFormat="1" applyFill="1" applyBorder="1" applyAlignment="1">
      <alignment horizontal="left" vertical="center" wrapText="1" indent="1"/>
    </xf>
    <xf numFmtId="168" fontId="7"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fill>
        <patternFill>
          <bgColor theme="7"/>
        </patternFill>
      </fill>
      <border>
        <left/>
        <right/>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22"/>
  <sheetViews>
    <sheetView showGridLines="0" tabSelected="1" showRuler="0" topLeftCell="B1" zoomScaleNormal="100" zoomScalePageLayoutView="70" workbookViewId="0">
      <pane ySplit="6" topLeftCell="A7" activePane="bottomLeft" state="frozen"/>
      <selection pane="bottomLeft" activeCell="G18" sqref="G18"/>
    </sheetView>
  </sheetViews>
  <sheetFormatPr baseColWidth="10" defaultColWidth="9.109375" defaultRowHeight="30" customHeight="1" x14ac:dyDescent="0.3"/>
  <cols>
    <col min="1" max="1" width="2.6640625" style="31" customWidth="1"/>
    <col min="2" max="2" width="29.44140625" style="34"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64" width="3.33203125" customWidth="1"/>
    <col min="65" max="65" width="3.44140625" customWidth="1"/>
    <col min="66" max="66" width="4.21875" customWidth="1"/>
    <col min="67" max="67" width="3.21875" customWidth="1"/>
    <col min="68" max="68" width="3.44140625" customWidth="1"/>
    <col min="69" max="69" width="4.109375" customWidth="1"/>
    <col min="70" max="70" width="3.88671875" customWidth="1"/>
    <col min="71" max="71" width="2.44140625" customWidth="1"/>
    <col min="72" max="72" width="4.21875" customWidth="1"/>
    <col min="73" max="73" width="4.5546875" customWidth="1"/>
    <col min="74" max="74" width="2.44140625" customWidth="1"/>
    <col min="75" max="75" width="4.109375" customWidth="1"/>
    <col min="76" max="76" width="3.6640625" customWidth="1"/>
    <col min="77" max="77" width="3.21875" customWidth="1"/>
    <col min="78" max="78" width="2.88671875" customWidth="1"/>
    <col min="79" max="79" width="3.33203125" customWidth="1"/>
    <col min="80" max="81" width="3" customWidth="1"/>
    <col min="82" max="82" width="3.77734375" customWidth="1"/>
    <col min="83" max="83" width="3.88671875" customWidth="1"/>
    <col min="84" max="84" width="3.5546875" customWidth="1"/>
    <col min="85" max="85" width="4.109375" customWidth="1"/>
    <col min="86" max="86" width="3.6640625" customWidth="1"/>
    <col min="87" max="87" width="2.21875" customWidth="1"/>
  </cols>
  <sheetData>
    <row r="1" spans="1:78" ht="20.399999999999999" customHeight="1" x14ac:dyDescent="0.55000000000000004">
      <c r="A1" s="32" t="s">
        <v>0</v>
      </c>
      <c r="B1" s="61" t="s">
        <v>44</v>
      </c>
      <c r="C1" s="1"/>
      <c r="D1" s="2"/>
      <c r="E1" s="4"/>
      <c r="F1" s="20"/>
      <c r="H1" s="2"/>
      <c r="I1" s="43"/>
    </row>
    <row r="2" spans="1:78" ht="13.2" customHeight="1" x14ac:dyDescent="0.35">
      <c r="A2" s="31" t="s">
        <v>1</v>
      </c>
      <c r="B2" s="62"/>
      <c r="I2" s="44"/>
    </row>
    <row r="3" spans="1:78" ht="16.2" customHeight="1" x14ac:dyDescent="0.3">
      <c r="A3" s="31" t="s">
        <v>2</v>
      </c>
      <c r="B3" s="63" t="s">
        <v>45</v>
      </c>
      <c r="C3" s="73" t="s">
        <v>13</v>
      </c>
      <c r="D3" s="74"/>
      <c r="E3" s="78">
        <v>45901</v>
      </c>
      <c r="F3" s="78"/>
    </row>
    <row r="4" spans="1:78" ht="15.6" customHeight="1" x14ac:dyDescent="0.3">
      <c r="A4" s="32" t="s">
        <v>3</v>
      </c>
      <c r="C4" s="73" t="s">
        <v>14</v>
      </c>
      <c r="D4" s="74"/>
      <c r="E4" s="7">
        <v>1</v>
      </c>
      <c r="I4" s="75">
        <f>I5</f>
        <v>45901</v>
      </c>
      <c r="J4" s="76"/>
      <c r="K4" s="76"/>
      <c r="L4" s="76"/>
      <c r="M4" s="76"/>
      <c r="N4" s="76"/>
      <c r="O4" s="77"/>
      <c r="P4" s="75">
        <f>P5</f>
        <v>45908</v>
      </c>
      <c r="Q4" s="76"/>
      <c r="R4" s="76"/>
      <c r="S4" s="76"/>
      <c r="T4" s="76"/>
      <c r="U4" s="76"/>
      <c r="V4" s="77"/>
      <c r="W4" s="75">
        <f>W5</f>
        <v>45915</v>
      </c>
      <c r="X4" s="76"/>
      <c r="Y4" s="76"/>
      <c r="Z4" s="76"/>
      <c r="AA4" s="76"/>
      <c r="AB4" s="76"/>
      <c r="AC4" s="77"/>
      <c r="AD4" s="75">
        <f>AD5</f>
        <v>45922</v>
      </c>
      <c r="AE4" s="76"/>
      <c r="AF4" s="76"/>
      <c r="AG4" s="76"/>
      <c r="AH4" s="76"/>
      <c r="AI4" s="76"/>
      <c r="AJ4" s="77"/>
      <c r="AK4" s="75">
        <f>AK5</f>
        <v>45929</v>
      </c>
      <c r="AL4" s="76"/>
      <c r="AM4" s="76"/>
      <c r="AN4" s="76"/>
      <c r="AO4" s="76"/>
      <c r="AP4" s="76"/>
      <c r="AQ4" s="77"/>
      <c r="AR4" s="75">
        <f>AR5</f>
        <v>45936</v>
      </c>
      <c r="AS4" s="76"/>
      <c r="AT4" s="76"/>
      <c r="AU4" s="76"/>
      <c r="AV4" s="76"/>
      <c r="AW4" s="76"/>
      <c r="AX4" s="77"/>
      <c r="AY4" s="75">
        <f>AY5</f>
        <v>45943</v>
      </c>
      <c r="AZ4" s="76"/>
      <c r="BA4" s="76"/>
      <c r="BB4" s="76"/>
      <c r="BC4" s="76"/>
      <c r="BD4" s="76"/>
      <c r="BE4" s="77"/>
      <c r="BF4" s="75">
        <f>BF5</f>
        <v>45950</v>
      </c>
      <c r="BG4" s="76"/>
      <c r="BH4" s="76"/>
      <c r="BI4" s="76"/>
      <c r="BJ4" s="76"/>
      <c r="BK4" s="76"/>
      <c r="BL4" s="77"/>
      <c r="BM4" s="53"/>
      <c r="BN4" s="53"/>
      <c r="BO4" s="53"/>
      <c r="BP4" s="53"/>
      <c r="BQ4" s="53"/>
      <c r="BR4" s="54"/>
      <c r="BS4" s="53"/>
      <c r="BT4" s="53"/>
      <c r="BU4" s="53"/>
      <c r="BV4" s="53"/>
      <c r="BW4" s="53"/>
      <c r="BX4" s="54"/>
    </row>
    <row r="5" spans="1:78" ht="20.399999999999999" customHeight="1" x14ac:dyDescent="0.3">
      <c r="A5" s="32" t="s">
        <v>4</v>
      </c>
      <c r="B5" s="64"/>
      <c r="C5" s="42"/>
      <c r="D5" s="42"/>
      <c r="E5" s="42"/>
      <c r="F5" s="42"/>
      <c r="G5" s="42"/>
      <c r="I5" s="55">
        <f>Inicio_del_proyecto-WEEKDAY(Inicio_del_proyecto,1)+2+7*(Semana_para_mostrar-1)</f>
        <v>45901</v>
      </c>
      <c r="J5" s="56">
        <f>I5+1</f>
        <v>45902</v>
      </c>
      <c r="K5" s="56">
        <f t="shared" ref="K5:AX5" si="0">J5+1</f>
        <v>45903</v>
      </c>
      <c r="L5" s="56">
        <f t="shared" si="0"/>
        <v>45904</v>
      </c>
      <c r="M5" s="56">
        <f t="shared" si="0"/>
        <v>45905</v>
      </c>
      <c r="N5" s="56">
        <f t="shared" si="0"/>
        <v>45906</v>
      </c>
      <c r="O5" s="57">
        <f t="shared" si="0"/>
        <v>45907</v>
      </c>
      <c r="P5" s="55">
        <f>O5+1</f>
        <v>45908</v>
      </c>
      <c r="Q5" s="56">
        <f>P5+1</f>
        <v>45909</v>
      </c>
      <c r="R5" s="56">
        <f t="shared" si="0"/>
        <v>45910</v>
      </c>
      <c r="S5" s="56">
        <f t="shared" si="0"/>
        <v>45911</v>
      </c>
      <c r="T5" s="56">
        <f t="shared" si="0"/>
        <v>45912</v>
      </c>
      <c r="U5" s="56">
        <f t="shared" si="0"/>
        <v>45913</v>
      </c>
      <c r="V5" s="57">
        <f t="shared" si="0"/>
        <v>45914</v>
      </c>
      <c r="W5" s="55">
        <f>V5+1</f>
        <v>45915</v>
      </c>
      <c r="X5" s="56">
        <f>W5+1</f>
        <v>45916</v>
      </c>
      <c r="Y5" s="56">
        <f t="shared" si="0"/>
        <v>45917</v>
      </c>
      <c r="Z5" s="56">
        <f t="shared" si="0"/>
        <v>45918</v>
      </c>
      <c r="AA5" s="56">
        <f t="shared" si="0"/>
        <v>45919</v>
      </c>
      <c r="AB5" s="56">
        <f t="shared" si="0"/>
        <v>45920</v>
      </c>
      <c r="AC5" s="57">
        <f t="shared" si="0"/>
        <v>45921</v>
      </c>
      <c r="AD5" s="55">
        <f>AC5+1</f>
        <v>45922</v>
      </c>
      <c r="AE5" s="56">
        <f>AD5+1</f>
        <v>45923</v>
      </c>
      <c r="AF5" s="56">
        <f t="shared" si="0"/>
        <v>45924</v>
      </c>
      <c r="AG5" s="56">
        <f t="shared" si="0"/>
        <v>45925</v>
      </c>
      <c r="AH5" s="56">
        <f t="shared" si="0"/>
        <v>45926</v>
      </c>
      <c r="AI5" s="56">
        <f t="shared" si="0"/>
        <v>45927</v>
      </c>
      <c r="AJ5" s="57">
        <f t="shared" si="0"/>
        <v>45928</v>
      </c>
      <c r="AK5" s="55">
        <f>AJ5+1</f>
        <v>45929</v>
      </c>
      <c r="AL5" s="56">
        <f>AK5+1</f>
        <v>45930</v>
      </c>
      <c r="AM5" s="56">
        <f t="shared" si="0"/>
        <v>45931</v>
      </c>
      <c r="AN5" s="56">
        <f t="shared" si="0"/>
        <v>45932</v>
      </c>
      <c r="AO5" s="56">
        <f t="shared" si="0"/>
        <v>45933</v>
      </c>
      <c r="AP5" s="56">
        <f t="shared" si="0"/>
        <v>45934</v>
      </c>
      <c r="AQ5" s="57">
        <f t="shared" si="0"/>
        <v>45935</v>
      </c>
      <c r="AR5" s="55">
        <f>AQ5+1</f>
        <v>45936</v>
      </c>
      <c r="AS5" s="56">
        <f>AR5+1</f>
        <v>45937</v>
      </c>
      <c r="AT5" s="56">
        <f t="shared" si="0"/>
        <v>45938</v>
      </c>
      <c r="AU5" s="56">
        <f t="shared" si="0"/>
        <v>45939</v>
      </c>
      <c r="AV5" s="56">
        <f t="shared" si="0"/>
        <v>45940</v>
      </c>
      <c r="AW5" s="56">
        <f t="shared" si="0"/>
        <v>45941</v>
      </c>
      <c r="AX5" s="57">
        <f t="shared" si="0"/>
        <v>45942</v>
      </c>
      <c r="AY5" s="55">
        <f t="shared" ref="AY5:BZ5" si="1">AX5+1</f>
        <v>45943</v>
      </c>
      <c r="AZ5" s="56">
        <f t="shared" si="1"/>
        <v>45944</v>
      </c>
      <c r="BA5" s="56">
        <f t="shared" si="1"/>
        <v>45945</v>
      </c>
      <c r="BB5" s="56">
        <f t="shared" si="1"/>
        <v>45946</v>
      </c>
      <c r="BC5" s="56">
        <f t="shared" si="1"/>
        <v>45947</v>
      </c>
      <c r="BD5" s="56">
        <f t="shared" si="1"/>
        <v>45948</v>
      </c>
      <c r="BE5" s="57">
        <f t="shared" si="1"/>
        <v>45949</v>
      </c>
      <c r="BF5" s="55">
        <f t="shared" si="1"/>
        <v>45950</v>
      </c>
      <c r="BG5" s="56">
        <f t="shared" si="1"/>
        <v>45951</v>
      </c>
      <c r="BH5" s="56">
        <f t="shared" si="1"/>
        <v>45952</v>
      </c>
      <c r="BI5" s="56">
        <f t="shared" si="1"/>
        <v>45953</v>
      </c>
      <c r="BJ5" s="56">
        <f t="shared" si="1"/>
        <v>45954</v>
      </c>
      <c r="BK5" s="56">
        <f t="shared" si="1"/>
        <v>45955</v>
      </c>
      <c r="BL5" s="57">
        <f t="shared" si="1"/>
        <v>45956</v>
      </c>
      <c r="BM5" s="55">
        <f t="shared" si="1"/>
        <v>45957</v>
      </c>
      <c r="BN5" s="56">
        <f t="shared" si="1"/>
        <v>45958</v>
      </c>
      <c r="BO5" s="56">
        <f t="shared" si="1"/>
        <v>45959</v>
      </c>
      <c r="BP5" s="56">
        <f t="shared" si="1"/>
        <v>45960</v>
      </c>
      <c r="BQ5" s="56">
        <f t="shared" si="1"/>
        <v>45961</v>
      </c>
      <c r="BR5" s="56">
        <f t="shared" si="1"/>
        <v>45962</v>
      </c>
      <c r="BS5" s="57">
        <f t="shared" si="1"/>
        <v>45963</v>
      </c>
      <c r="BT5" s="55">
        <f t="shared" si="1"/>
        <v>45964</v>
      </c>
      <c r="BU5" s="56">
        <f t="shared" si="1"/>
        <v>45965</v>
      </c>
      <c r="BV5" s="56">
        <f t="shared" si="1"/>
        <v>45966</v>
      </c>
      <c r="BW5" s="56">
        <f t="shared" si="1"/>
        <v>45967</v>
      </c>
      <c r="BX5" s="56">
        <f t="shared" si="1"/>
        <v>45968</v>
      </c>
      <c r="BY5" s="56">
        <f t="shared" si="1"/>
        <v>45969</v>
      </c>
      <c r="BZ5" s="57">
        <f t="shared" si="1"/>
        <v>45970</v>
      </c>
    </row>
    <row r="6" spans="1:78" ht="19.8" customHeight="1" thickBot="1" x14ac:dyDescent="0.35">
      <c r="A6" s="32" t="s">
        <v>5</v>
      </c>
      <c r="B6" s="65" t="s">
        <v>12</v>
      </c>
      <c r="C6" s="8" t="s">
        <v>15</v>
      </c>
      <c r="D6" s="8" t="s">
        <v>16</v>
      </c>
      <c r="E6" s="8" t="s">
        <v>17</v>
      </c>
      <c r="F6" s="8" t="s">
        <v>18</v>
      </c>
      <c r="G6" s="8"/>
      <c r="H6" s="8" t="s">
        <v>19</v>
      </c>
      <c r="I6" s="9" t="str">
        <f>LEFT(TEXT(I5,"ddd"),1)</f>
        <v>l</v>
      </c>
      <c r="J6" s="9" t="str">
        <f t="shared" ref="J6:AR6" si="2">LEFT(TEXT(J5,"ddd"),1)</f>
        <v>m</v>
      </c>
      <c r="K6" s="9" t="str">
        <f t="shared" si="2"/>
        <v>m</v>
      </c>
      <c r="L6" s="9" t="str">
        <f t="shared" si="2"/>
        <v>j</v>
      </c>
      <c r="M6" s="9" t="str">
        <f t="shared" si="2"/>
        <v>v</v>
      </c>
      <c r="N6" s="9" t="str">
        <f t="shared" si="2"/>
        <v>s</v>
      </c>
      <c r="O6" s="9" t="str">
        <f t="shared" si="2"/>
        <v>d</v>
      </c>
      <c r="P6" s="9" t="str">
        <f t="shared" si="2"/>
        <v>l</v>
      </c>
      <c r="Q6" s="9" t="str">
        <f t="shared" si="2"/>
        <v>m</v>
      </c>
      <c r="R6" s="9" t="str">
        <f t="shared" si="2"/>
        <v>m</v>
      </c>
      <c r="S6" s="9" t="str">
        <f t="shared" si="2"/>
        <v>j</v>
      </c>
      <c r="T6" s="9" t="str">
        <f t="shared" si="2"/>
        <v>v</v>
      </c>
      <c r="U6" s="9" t="str">
        <f t="shared" si="2"/>
        <v>s</v>
      </c>
      <c r="V6" s="9" t="str">
        <f t="shared" si="2"/>
        <v>d</v>
      </c>
      <c r="W6" s="9" t="str">
        <f t="shared" si="2"/>
        <v>l</v>
      </c>
      <c r="X6" s="9" t="str">
        <f t="shared" si="2"/>
        <v>m</v>
      </c>
      <c r="Y6" s="9" t="str">
        <f t="shared" si="2"/>
        <v>m</v>
      </c>
      <c r="Z6" s="9" t="str">
        <f t="shared" si="2"/>
        <v>j</v>
      </c>
      <c r="AA6" s="9" t="str">
        <f t="shared" si="2"/>
        <v>v</v>
      </c>
      <c r="AB6" s="9" t="str">
        <f t="shared" si="2"/>
        <v>s</v>
      </c>
      <c r="AC6" s="9" t="str">
        <f t="shared" si="2"/>
        <v>d</v>
      </c>
      <c r="AD6" s="9" t="str">
        <f t="shared" si="2"/>
        <v>l</v>
      </c>
      <c r="AE6" s="9" t="str">
        <f t="shared" si="2"/>
        <v>m</v>
      </c>
      <c r="AF6" s="9" t="str">
        <f t="shared" si="2"/>
        <v>m</v>
      </c>
      <c r="AG6" s="9" t="str">
        <f t="shared" si="2"/>
        <v>j</v>
      </c>
      <c r="AH6" s="9" t="str">
        <f t="shared" si="2"/>
        <v>v</v>
      </c>
      <c r="AI6" s="9" t="str">
        <f t="shared" si="2"/>
        <v>s</v>
      </c>
      <c r="AJ6" s="9" t="str">
        <f t="shared" si="2"/>
        <v>d</v>
      </c>
      <c r="AK6" s="9" t="str">
        <f t="shared" si="2"/>
        <v>l</v>
      </c>
      <c r="AL6" s="9" t="str">
        <f t="shared" si="2"/>
        <v>m</v>
      </c>
      <c r="AM6" s="9" t="str">
        <f t="shared" si="2"/>
        <v>m</v>
      </c>
      <c r="AN6" s="9" t="str">
        <f t="shared" si="2"/>
        <v>j</v>
      </c>
      <c r="AO6" s="9" t="str">
        <f t="shared" si="2"/>
        <v>v</v>
      </c>
      <c r="AP6" s="9" t="str">
        <f t="shared" si="2"/>
        <v>s</v>
      </c>
      <c r="AQ6" s="9" t="str">
        <f t="shared" si="2"/>
        <v>d</v>
      </c>
      <c r="AR6" s="9" t="str">
        <f t="shared" si="2"/>
        <v>l</v>
      </c>
      <c r="AS6" s="9" t="str">
        <f t="shared" ref="AS6:BZ6" si="3">LEFT(TEXT(AS5,"ddd"),1)</f>
        <v>m</v>
      </c>
      <c r="AT6" s="9" t="str">
        <f t="shared" si="3"/>
        <v>m</v>
      </c>
      <c r="AU6" s="9" t="str">
        <f t="shared" si="3"/>
        <v>j</v>
      </c>
      <c r="AV6" s="9" t="str">
        <f t="shared" si="3"/>
        <v>v</v>
      </c>
      <c r="AW6" s="9" t="str">
        <f t="shared" si="3"/>
        <v>s</v>
      </c>
      <c r="AX6" s="9" t="str">
        <f t="shared" si="3"/>
        <v>d</v>
      </c>
      <c r="AY6" s="9" t="str">
        <f t="shared" si="3"/>
        <v>l</v>
      </c>
      <c r="AZ6" s="9" t="str">
        <f t="shared" si="3"/>
        <v>m</v>
      </c>
      <c r="BA6" s="9" t="str">
        <f t="shared" si="3"/>
        <v>m</v>
      </c>
      <c r="BB6" s="9" t="str">
        <f t="shared" si="3"/>
        <v>j</v>
      </c>
      <c r="BC6" s="9" t="str">
        <f t="shared" si="3"/>
        <v>v</v>
      </c>
      <c r="BD6" s="9" t="str">
        <f t="shared" si="3"/>
        <v>s</v>
      </c>
      <c r="BE6" s="9" t="str">
        <f t="shared" si="3"/>
        <v>d</v>
      </c>
      <c r="BF6" s="9" t="str">
        <f t="shared" si="3"/>
        <v>l</v>
      </c>
      <c r="BG6" s="9" t="str">
        <f t="shared" si="3"/>
        <v>m</v>
      </c>
      <c r="BH6" s="9" t="str">
        <f t="shared" si="3"/>
        <v>m</v>
      </c>
      <c r="BI6" s="9" t="str">
        <f t="shared" si="3"/>
        <v>j</v>
      </c>
      <c r="BJ6" s="9" t="str">
        <f t="shared" si="3"/>
        <v>v</v>
      </c>
      <c r="BK6" s="9" t="str">
        <f t="shared" si="3"/>
        <v>s</v>
      </c>
      <c r="BL6" s="9" t="str">
        <f t="shared" si="3"/>
        <v>d</v>
      </c>
      <c r="BM6" s="9" t="str">
        <f t="shared" si="3"/>
        <v>l</v>
      </c>
      <c r="BN6" s="9" t="str">
        <f t="shared" si="3"/>
        <v>m</v>
      </c>
      <c r="BO6" s="9" t="str">
        <f t="shared" si="3"/>
        <v>m</v>
      </c>
      <c r="BP6" s="9" t="str">
        <f t="shared" si="3"/>
        <v>j</v>
      </c>
      <c r="BQ6" s="9" t="str">
        <f t="shared" si="3"/>
        <v>v</v>
      </c>
      <c r="BR6" s="9" t="str">
        <f t="shared" si="3"/>
        <v>s</v>
      </c>
      <c r="BS6" s="9" t="str">
        <f t="shared" si="3"/>
        <v>d</v>
      </c>
      <c r="BT6" s="9" t="str">
        <f t="shared" si="3"/>
        <v>l</v>
      </c>
      <c r="BU6" s="9" t="str">
        <f t="shared" si="3"/>
        <v>m</v>
      </c>
      <c r="BV6" s="9" t="str">
        <f t="shared" si="3"/>
        <v>m</v>
      </c>
      <c r="BW6" s="9" t="str">
        <f t="shared" si="3"/>
        <v>j</v>
      </c>
      <c r="BX6" s="9" t="str">
        <f t="shared" si="3"/>
        <v>v</v>
      </c>
      <c r="BY6" s="9" t="str">
        <f t="shared" si="3"/>
        <v>s</v>
      </c>
      <c r="BZ6" s="9" t="str">
        <f t="shared" si="3"/>
        <v>d</v>
      </c>
    </row>
    <row r="7" spans="1:78" s="3" customFormat="1" ht="18.600000000000001" customHeight="1" thickBot="1" x14ac:dyDescent="0.35">
      <c r="A7" s="32" t="s">
        <v>6</v>
      </c>
      <c r="B7" s="66" t="s">
        <v>46</v>
      </c>
      <c r="C7" s="35"/>
      <c r="D7" s="14"/>
      <c r="E7" s="46"/>
      <c r="F7" s="47"/>
      <c r="G7" s="13"/>
      <c r="H7" s="13" t="str">
        <f t="shared" ref="H7:H19" si="4">IF(OR(ISBLANK(task_start),ISBLANK(task_end)),"",task_end-task_start+1)</f>
        <v/>
      </c>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row>
    <row r="8" spans="1:78" s="3" customFormat="1" ht="30" customHeight="1" thickBot="1" x14ac:dyDescent="0.35">
      <c r="A8" s="32" t="s">
        <v>7</v>
      </c>
      <c r="B8" s="67" t="s">
        <v>35</v>
      </c>
      <c r="C8" s="36" t="s">
        <v>53</v>
      </c>
      <c r="D8" s="15">
        <v>1</v>
      </c>
      <c r="E8" s="58">
        <f>Inicio_del_proyecto</f>
        <v>45901</v>
      </c>
      <c r="F8" s="58">
        <f>E8+6</f>
        <v>45907</v>
      </c>
      <c r="G8" s="13"/>
      <c r="H8" s="13">
        <f t="shared" si="4"/>
        <v>7</v>
      </c>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row>
    <row r="9" spans="1:78" s="3" customFormat="1" ht="30" customHeight="1" thickBot="1" x14ac:dyDescent="0.35">
      <c r="A9" s="32" t="s">
        <v>8</v>
      </c>
      <c r="B9" s="67" t="s">
        <v>38</v>
      </c>
      <c r="C9" s="36" t="s">
        <v>45</v>
      </c>
      <c r="D9" s="15">
        <v>1</v>
      </c>
      <c r="E9" s="58">
        <v>45908</v>
      </c>
      <c r="F9" s="58">
        <f>E9+6</f>
        <v>45914</v>
      </c>
      <c r="G9" s="13"/>
      <c r="H9" s="13">
        <f t="shared" si="4"/>
        <v>7</v>
      </c>
      <c r="I9" s="18"/>
      <c r="J9" s="18"/>
      <c r="K9" s="18"/>
      <c r="L9" s="18"/>
      <c r="M9" s="18"/>
      <c r="N9" s="18"/>
      <c r="O9" s="18"/>
      <c r="P9" s="18"/>
      <c r="Q9" s="18"/>
      <c r="R9" s="18"/>
      <c r="S9" s="18"/>
      <c r="T9" s="18"/>
      <c r="U9" s="19"/>
      <c r="V9" s="19"/>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row>
    <row r="10" spans="1:78" s="3" customFormat="1" ht="30" customHeight="1" thickBot="1" x14ac:dyDescent="0.35">
      <c r="A10" s="31"/>
      <c r="B10" s="67" t="s">
        <v>37</v>
      </c>
      <c r="C10" s="36" t="s">
        <v>49</v>
      </c>
      <c r="D10" s="15">
        <v>1</v>
      </c>
      <c r="E10" s="58">
        <v>45915</v>
      </c>
      <c r="F10" s="58">
        <v>45928</v>
      </c>
      <c r="G10" s="13"/>
      <c r="H10" s="13">
        <f t="shared" si="4"/>
        <v>14</v>
      </c>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78" s="3" customFormat="1" ht="21.6" customHeight="1" thickBot="1" x14ac:dyDescent="0.35">
      <c r="A11" s="32" t="s">
        <v>9</v>
      </c>
      <c r="B11" s="68" t="s">
        <v>47</v>
      </c>
      <c r="C11" s="37"/>
      <c r="D11" s="16"/>
      <c r="E11" s="48"/>
      <c r="F11" s="49"/>
      <c r="G11" s="13"/>
      <c r="H11" s="13" t="str">
        <f t="shared" si="4"/>
        <v/>
      </c>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row>
    <row r="12" spans="1:78" s="3" customFormat="1" ht="30" customHeight="1" thickBot="1" x14ac:dyDescent="0.35">
      <c r="A12" s="32"/>
      <c r="B12" s="69" t="s">
        <v>36</v>
      </c>
      <c r="C12" s="38" t="s">
        <v>45</v>
      </c>
      <c r="D12" s="17">
        <v>1</v>
      </c>
      <c r="E12" s="59">
        <v>45929</v>
      </c>
      <c r="F12" s="59">
        <v>45942</v>
      </c>
      <c r="G12" s="13"/>
      <c r="H12" s="13">
        <f t="shared" si="4"/>
        <v>14</v>
      </c>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row>
    <row r="13" spans="1:78" s="3" customFormat="1" ht="30" customHeight="1" thickBot="1" x14ac:dyDescent="0.35">
      <c r="A13" s="31"/>
      <c r="B13" s="69" t="s">
        <v>39</v>
      </c>
      <c r="C13" s="38" t="s">
        <v>50</v>
      </c>
      <c r="D13" s="17">
        <v>1</v>
      </c>
      <c r="E13" s="59">
        <v>45943</v>
      </c>
      <c r="F13" s="59">
        <v>45956</v>
      </c>
      <c r="G13" s="13"/>
      <c r="H13" s="13">
        <f t="shared" si="4"/>
        <v>14</v>
      </c>
      <c r="I13" s="18"/>
      <c r="J13" s="18"/>
      <c r="K13" s="18"/>
      <c r="L13" s="18"/>
      <c r="M13" s="18"/>
      <c r="N13" s="18"/>
      <c r="O13" s="18"/>
      <c r="P13" s="18"/>
      <c r="Q13" s="18"/>
      <c r="R13" s="18"/>
      <c r="S13" s="18"/>
      <c r="T13" s="18"/>
      <c r="U13" s="19"/>
      <c r="V13" s="19"/>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row>
    <row r="14" spans="1:78" s="3" customFormat="1" ht="30" customHeight="1" thickBot="1" x14ac:dyDescent="0.35">
      <c r="A14" s="31"/>
      <c r="B14" s="69" t="s">
        <v>40</v>
      </c>
      <c r="C14" s="38" t="s">
        <v>51</v>
      </c>
      <c r="D14" s="17">
        <v>1</v>
      </c>
      <c r="E14" s="59">
        <v>45957</v>
      </c>
      <c r="F14" s="59">
        <v>45970</v>
      </c>
      <c r="G14" s="13"/>
      <c r="H14" s="13">
        <f t="shared" si="4"/>
        <v>14</v>
      </c>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row>
    <row r="15" spans="1:78" s="3" customFormat="1" ht="25.2" customHeight="1" thickBot="1" x14ac:dyDescent="0.35">
      <c r="A15" s="31"/>
      <c r="B15" s="69" t="s">
        <v>41</v>
      </c>
      <c r="C15" s="38" t="s">
        <v>45</v>
      </c>
      <c r="D15" s="17">
        <v>1</v>
      </c>
      <c r="E15" s="59">
        <v>45971</v>
      </c>
      <c r="F15" s="59">
        <v>45984</v>
      </c>
      <c r="G15" s="13"/>
      <c r="H15" s="13">
        <f t="shared" si="4"/>
        <v>14</v>
      </c>
      <c r="I15" s="18"/>
      <c r="J15" s="18"/>
      <c r="K15" s="18"/>
      <c r="L15" s="18"/>
      <c r="M15" s="18"/>
      <c r="N15" s="18"/>
      <c r="O15" s="18"/>
      <c r="P15" s="18"/>
      <c r="Q15" s="18"/>
      <c r="R15" s="18"/>
      <c r="S15" s="18"/>
      <c r="T15" s="18"/>
      <c r="U15" s="18"/>
      <c r="V15" s="18"/>
      <c r="W15" s="18"/>
      <c r="X15" s="18"/>
      <c r="Y15" s="1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row>
    <row r="16" spans="1:78" s="3" customFormat="1" ht="21.6" customHeight="1" thickBot="1" x14ac:dyDescent="0.35">
      <c r="A16" s="31" t="s">
        <v>10</v>
      </c>
      <c r="B16" s="70" t="s">
        <v>48</v>
      </c>
      <c r="C16" s="39"/>
      <c r="D16" s="39"/>
      <c r="E16" s="50"/>
      <c r="F16" s="51"/>
      <c r="G16" s="13"/>
      <c r="H16" s="13" t="str">
        <f t="shared" si="4"/>
        <v/>
      </c>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row>
    <row r="17" spans="1:64" s="3" customFormat="1" ht="30" customHeight="1" thickBot="1" x14ac:dyDescent="0.35">
      <c r="A17" s="31"/>
      <c r="B17" s="71" t="s">
        <v>42</v>
      </c>
      <c r="C17" s="40" t="s">
        <v>52</v>
      </c>
      <c r="D17" s="17">
        <v>1</v>
      </c>
      <c r="E17" s="52">
        <v>45985</v>
      </c>
      <c r="F17" s="52">
        <v>45998</v>
      </c>
      <c r="G17" s="13"/>
      <c r="H17" s="13">
        <f t="shared" si="4"/>
        <v>14</v>
      </c>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row>
    <row r="18" spans="1:64" s="3" customFormat="1" ht="30" customHeight="1" thickBot="1" x14ac:dyDescent="0.35">
      <c r="A18" s="31"/>
      <c r="B18" s="71" t="s">
        <v>43</v>
      </c>
      <c r="C18" s="40" t="s">
        <v>53</v>
      </c>
      <c r="D18" s="17">
        <v>1</v>
      </c>
      <c r="E18" s="52">
        <v>46000</v>
      </c>
      <c r="F18" s="52">
        <v>46000</v>
      </c>
      <c r="G18" s="13"/>
      <c r="H18" s="13">
        <f t="shared" si="4"/>
        <v>1</v>
      </c>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row>
    <row r="19" spans="1:64" s="3" customFormat="1" ht="30" customHeight="1" thickBot="1" x14ac:dyDescent="0.35">
      <c r="A19" s="31" t="s">
        <v>11</v>
      </c>
      <c r="B19" s="72"/>
      <c r="C19" s="41"/>
      <c r="D19" s="12"/>
      <c r="E19" s="60"/>
      <c r="F19" s="60"/>
      <c r="G19" s="13"/>
      <c r="H19" s="13" t="str">
        <f t="shared" si="4"/>
        <v/>
      </c>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row>
    <row r="20" spans="1:64" ht="30" customHeight="1" x14ac:dyDescent="0.3">
      <c r="G20" s="6"/>
    </row>
    <row r="21" spans="1:64" ht="30" customHeight="1" x14ac:dyDescent="0.3">
      <c r="C21" s="10"/>
      <c r="F21" s="33"/>
    </row>
    <row r="22" spans="1:64" ht="30" customHeight="1" x14ac:dyDescent="0.3">
      <c r="C22" s="11"/>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15 D17:D19">
    <cfRule type="dataBar" priority="3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7:BK19">
    <cfRule type="expression" dxfId="2" priority="49" stopIfTrue="1">
      <formula>AND(task_end&gt;=I$5,task_start&lt;J$5)</formula>
    </cfRule>
  </conditionalFormatting>
  <conditionalFormatting sqref="I7:BL19">
    <cfRule type="expression" dxfId="1" priority="48">
      <formula>AND(task_start&lt;=I$5,ROUNDDOWN((task_end-task_start+1)*task_progress,0)+task_start-1&gt;=I$5)</formula>
    </cfRule>
  </conditionalFormatting>
  <conditionalFormatting sqref="BL7:BL19">
    <cfRule type="expression" dxfId="0" priority="61" stopIfTrue="1">
      <formula>AND(task_end&gt;=BL$5,task_start&lt;#REF!)</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4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D7:D15 D17:D19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21" customWidth="1"/>
    <col min="2" max="16384" width="9.109375" style="2"/>
  </cols>
  <sheetData>
    <row r="1" spans="1:2" ht="46.5" customHeight="1" x14ac:dyDescent="0.3"/>
    <row r="2" spans="1:2" s="23" customFormat="1" ht="15.6" x14ac:dyDescent="0.3">
      <c r="A2" s="22" t="s">
        <v>20</v>
      </c>
      <c r="B2" s="22"/>
    </row>
    <row r="3" spans="1:2" s="27" customFormat="1" ht="27" customHeight="1" x14ac:dyDescent="0.3">
      <c r="A3" s="45" t="s">
        <v>21</v>
      </c>
      <c r="B3" s="28"/>
    </row>
    <row r="4" spans="1:2" s="24" customFormat="1" ht="25.8" x14ac:dyDescent="0.5">
      <c r="A4" s="25" t="s">
        <v>22</v>
      </c>
    </row>
    <row r="5" spans="1:2" ht="74.099999999999994" customHeight="1" x14ac:dyDescent="0.3">
      <c r="A5" s="26" t="s">
        <v>23</v>
      </c>
    </row>
    <row r="6" spans="1:2" ht="26.25" customHeight="1" x14ac:dyDescent="0.3">
      <c r="A6" s="25" t="s">
        <v>24</v>
      </c>
    </row>
    <row r="7" spans="1:2" s="21" customFormat="1" ht="215.25" customHeight="1" x14ac:dyDescent="0.3">
      <c r="A7" s="30" t="s">
        <v>25</v>
      </c>
    </row>
    <row r="8" spans="1:2" s="24" customFormat="1" ht="25.8" x14ac:dyDescent="0.5">
      <c r="A8" s="25" t="s">
        <v>26</v>
      </c>
    </row>
    <row r="9" spans="1:2" ht="57.6" x14ac:dyDescent="0.3">
      <c r="A9" s="26" t="s">
        <v>27</v>
      </c>
    </row>
    <row r="10" spans="1:2" s="21" customFormat="1" ht="27.9" customHeight="1" x14ac:dyDescent="0.3">
      <c r="A10" s="29" t="s">
        <v>28</v>
      </c>
    </row>
    <row r="11" spans="1:2" s="24" customFormat="1" ht="25.8" x14ac:dyDescent="0.5">
      <c r="A11" s="25" t="s">
        <v>29</v>
      </c>
    </row>
    <row r="12" spans="1:2" ht="28.8" x14ac:dyDescent="0.3">
      <c r="A12" s="26" t="s">
        <v>30</v>
      </c>
    </row>
    <row r="13" spans="1:2" s="21" customFormat="1" ht="27.9" customHeight="1" x14ac:dyDescent="0.3">
      <c r="A13" s="29" t="s">
        <v>31</v>
      </c>
    </row>
    <row r="14" spans="1:2" s="24" customFormat="1" ht="25.8" x14ac:dyDescent="0.5">
      <c r="A14" s="25" t="s">
        <v>32</v>
      </c>
    </row>
    <row r="15" spans="1:2" ht="96.75" customHeight="1" x14ac:dyDescent="0.3">
      <c r="A15" s="26" t="s">
        <v>33</v>
      </c>
    </row>
    <row r="16" spans="1:2" ht="86.4" x14ac:dyDescent="0.3">
      <c r="A16" s="26" t="s">
        <v>34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2025-12-06T17:22:53Z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